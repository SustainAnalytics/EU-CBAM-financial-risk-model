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AM_Financial_Model" sheetId="1" r:id="rId5"/>
  </sheets>
  <definedNames/>
  <calcPr/>
</workbook>
</file>

<file path=xl/sharedStrings.xml><?xml version="1.0" encoding="utf-8"?>
<sst xmlns="http://schemas.openxmlformats.org/spreadsheetml/2006/main" count="9" uniqueCount="9">
  <si>
    <t>Annual Export Volume (MT)</t>
  </si>
  <si>
    <t>Emissions Intensity (tCO2/MT)</t>
  </si>
  <si>
    <t>EU ETS Carbon Price (€/tCO2)</t>
  </si>
  <si>
    <t>Total Base Emissions (tCO2)</t>
  </si>
  <si>
    <t>Year</t>
  </si>
  <si>
    <t>CBAM Exposure Factor (%)</t>
  </si>
  <si>
    <t>Taxable Emissions (tCO2)</t>
  </si>
  <si>
    <t>Annual CBAM Tax Liability (€)</t>
  </si>
  <si>
    <t>Cost Increase per Ton (€/MT)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</si>
</sst>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Google Sans Text"/>
    </font>
    <font>
      <b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10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FF0000"/>
                </a:solidFill>
                <a:latin typeface="+mn-lt"/>
              </a:defRPr>
            </a:pPr>
            <a:r>
              <a:rPr b="1" sz="2000">
                <a:solidFill>
                  <a:srgbClr val="FF0000"/>
                </a:solidFill>
                <a:latin typeface="+mn-lt"/>
              </a:rPr>
              <a:t>Titan Metals Ltd. - Annual CBAM Tax Liability (2026-2034)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CBAM_Financial_Model!$D$11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CBAM_Financial_Model!$A$12:$A$20</c:f>
            </c:strRef>
          </c:cat>
          <c:val>
            <c:numRef>
              <c:f>CBAM_Financial_Model!$D$12:$D$20</c:f>
              <c:numCache/>
            </c:numRef>
          </c:val>
        </c:ser>
        <c:axId val="2087174784"/>
        <c:axId val="2073802461"/>
      </c:barChart>
      <c:catAx>
        <c:axId val="208717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802461"/>
      </c:catAx>
      <c:valAx>
        <c:axId val="2073802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174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1409700</xdr:colOff>
      <xdr:row>21</xdr:row>
      <xdr:rowOff>9525</xdr:rowOff>
    </xdr:from>
    <xdr:ext cx="5591175" cy="3467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63"/>
    <col customWidth="1" min="3" max="3" width="24.13"/>
    <col customWidth="1" min="4" max="4" width="27.5"/>
    <col customWidth="1" min="5" max="5" width="27.0"/>
  </cols>
  <sheetData>
    <row r="5">
      <c r="A5" s="1" t="s">
        <v>0</v>
      </c>
      <c r="B5" s="1">
        <v>10000.0</v>
      </c>
      <c r="C5" s="2"/>
      <c r="D5" s="2"/>
      <c r="E5" s="2"/>
    </row>
    <row r="6">
      <c r="A6" s="1" t="s">
        <v>1</v>
      </c>
      <c r="B6" s="1">
        <v>2.2</v>
      </c>
      <c r="C6" s="2"/>
      <c r="D6" s="2"/>
      <c r="E6" s="2"/>
    </row>
    <row r="7">
      <c r="A7" s="1" t="s">
        <v>2</v>
      </c>
      <c r="B7" s="1">
        <v>90.0</v>
      </c>
      <c r="C7" s="2"/>
      <c r="D7" s="2"/>
      <c r="E7" s="2"/>
    </row>
    <row r="8">
      <c r="A8" s="1" t="s">
        <v>3</v>
      </c>
      <c r="B8" s="2">
        <f>B5*B6</f>
        <v>22000</v>
      </c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</row>
    <row r="12">
      <c r="A12" s="4">
        <v>2026.0</v>
      </c>
      <c r="B12" s="5">
        <v>0.025</v>
      </c>
      <c r="C12" s="2">
        <f t="shared" ref="C12:C20" si="1">B12*$B$8</f>
        <v>550</v>
      </c>
      <c r="D12" s="2">
        <f t="shared" ref="D12:D20" si="2">C12*$B$7</f>
        <v>49500</v>
      </c>
      <c r="E12" s="2">
        <f t="shared" ref="E12:E20" si="3">D12/$B$5</f>
        <v>4.95</v>
      </c>
    </row>
    <row r="13">
      <c r="A13" s="4">
        <v>2027.0</v>
      </c>
      <c r="B13" s="5">
        <v>0.05</v>
      </c>
      <c r="C13" s="2">
        <f t="shared" si="1"/>
        <v>1100</v>
      </c>
      <c r="D13" s="2">
        <f t="shared" si="2"/>
        <v>99000</v>
      </c>
      <c r="E13" s="2">
        <f t="shared" si="3"/>
        <v>9.9</v>
      </c>
    </row>
    <row r="14">
      <c r="A14" s="4">
        <v>2028.0</v>
      </c>
      <c r="B14" s="5">
        <v>0.1</v>
      </c>
      <c r="C14" s="2">
        <f t="shared" si="1"/>
        <v>2200</v>
      </c>
      <c r="D14" s="2">
        <f t="shared" si="2"/>
        <v>198000</v>
      </c>
      <c r="E14" s="2">
        <f t="shared" si="3"/>
        <v>19.8</v>
      </c>
    </row>
    <row r="15">
      <c r="A15" s="4">
        <v>2029.0</v>
      </c>
      <c r="B15" s="5">
        <v>0.225</v>
      </c>
      <c r="C15" s="2">
        <f t="shared" si="1"/>
        <v>4950</v>
      </c>
      <c r="D15" s="2">
        <f t="shared" si="2"/>
        <v>445500</v>
      </c>
      <c r="E15" s="2">
        <f t="shared" si="3"/>
        <v>44.55</v>
      </c>
    </row>
    <row r="16">
      <c r="A16" s="4">
        <v>2030.0</v>
      </c>
      <c r="B16" s="5">
        <v>0.485</v>
      </c>
      <c r="C16" s="2">
        <f t="shared" si="1"/>
        <v>10670</v>
      </c>
      <c r="D16" s="2">
        <f t="shared" si="2"/>
        <v>960300</v>
      </c>
      <c r="E16" s="2">
        <f t="shared" si="3"/>
        <v>96.03</v>
      </c>
    </row>
    <row r="17">
      <c r="A17" s="4">
        <v>2031.0</v>
      </c>
      <c r="B17" s="5">
        <v>0.61</v>
      </c>
      <c r="C17" s="2">
        <f t="shared" si="1"/>
        <v>13420</v>
      </c>
      <c r="D17" s="2">
        <f t="shared" si="2"/>
        <v>1207800</v>
      </c>
      <c r="E17" s="2">
        <f t="shared" si="3"/>
        <v>120.78</v>
      </c>
    </row>
    <row r="18">
      <c r="A18" s="4">
        <v>2032.0</v>
      </c>
      <c r="B18" s="5">
        <v>0.735</v>
      </c>
      <c r="C18" s="2">
        <f t="shared" si="1"/>
        <v>16170</v>
      </c>
      <c r="D18" s="2">
        <f t="shared" si="2"/>
        <v>1455300</v>
      </c>
      <c r="E18" s="2">
        <f t="shared" si="3"/>
        <v>145.53</v>
      </c>
    </row>
    <row r="19">
      <c r="A19" s="4">
        <v>2033.0</v>
      </c>
      <c r="B19" s="5">
        <v>0.86</v>
      </c>
      <c r="C19" s="2">
        <f t="shared" si="1"/>
        <v>18920</v>
      </c>
      <c r="D19" s="2">
        <f t="shared" si="2"/>
        <v>1702800</v>
      </c>
      <c r="E19" s="2">
        <f t="shared" si="3"/>
        <v>170.28</v>
      </c>
    </row>
    <row r="20">
      <c r="A20" s="4">
        <v>2034.0</v>
      </c>
      <c r="B20" s="5">
        <v>1.0</v>
      </c>
      <c r="C20" s="2">
        <f t="shared" si="1"/>
        <v>22000</v>
      </c>
      <c r="D20" s="2">
        <f t="shared" si="2"/>
        <v>1980000</v>
      </c>
      <c r="E20" s="2">
        <f t="shared" si="3"/>
        <v>198</v>
      </c>
    </row>
    <row r="21">
      <c r="A21" s="6"/>
      <c r="B21" s="6"/>
    </row>
  </sheetData>
  <drawing r:id="rId1"/>
</worksheet>
</file>